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ices" sheetId="2" state="visible" r:id="rId4"/>
    <sheet name="Inputs" sheetId="3" state="visible" r:id="rId5"/>
    <sheet name="Model" sheetId="4" state="visible" r:id="rId6"/>
    <sheet name="Model choi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<sst xmlns="http://schemas.openxmlformats.org/spreadsheetml/2006/main" count="129" uniqueCount="104">
  <si>
    <t xml:space="preserve">Landora LLM cost model</t>
  </si>
  <si>
    <t xml:space="preserve">Draft 0.1, 2026-10-28. Answers V11 §14.2 'LLM cost-per-active-user model' and feeds the §12.14 commercial-readiness gate.</t>
  </si>
  <si>
    <t xml:space="preserve">How to use</t>
  </si>
  <si>
    <t xml:space="preserve">1. Change only blue cells on the Inputs and Prices sheets. Yellow cells are the key assumptions to validate first.</t>
  </si>
  <si>
    <t xml:space="preserve">2. Model shows monthly cost and cost per weekly active buyer (WAB) for Low / Base / High pilot volumes.</t>
  </si>
  <si>
    <t xml:space="preserve">3. Model choice compares the concierge lane on each Claude model at Base volume.</t>
  </si>
  <si>
    <t xml:space="preserve">4. After the build-semester benchmark and UAT, replace token assumptions with measured averages from the router logs (ADR 0006).</t>
  </si>
  <si>
    <t xml:space="preserve">Structure (ADR 0006 two-lane design)</t>
  </si>
  <si>
    <t xml:space="preserve">Search lane: a small model turns plain English into criteria; results come from the database, so cost is per parse, not per result.</t>
  </si>
  <si>
    <t xml:space="preserve">Concierge lane: metered conversational turns grounded in retrieved listings and rule results.</t>
  </si>
  <si>
    <t xml:space="preserve">FHB eligibility uses the rules engine and has no LLM cost.</t>
  </si>
  <si>
    <t xml:space="preserve">Sources</t>
  </si>
  <si>
    <t xml:space="preserve">Volumes: docs/data/pilot-sizing.md (draft). Prices: Anthropic first-party API list prices as cached 2026-10-06; confirm on the live pricing page before use.</t>
  </si>
  <si>
    <t xml:space="preserve">Not included: hosting, database, Cotality data, email. Cloud providers (Bedrock/Vertex) price Claude separately.</t>
  </si>
  <si>
    <t xml:space="preserve">Legend</t>
  </si>
  <si>
    <t xml:space="preserve">Blue text = input you can change. Black = formula. Green = link from another sheet. Yellow fill = key assumption.</t>
  </si>
  <si>
    <t xml:space="preserve">Model</t>
  </si>
  <si>
    <t xml:space="preserve">API model ID</t>
  </si>
  <si>
    <t xml:space="preserve">Input (USD/M tokens)</t>
  </si>
  <si>
    <t xml:space="preserve">Output (USD/M tokens)</t>
  </si>
  <si>
    <t xml:space="preserve">Cache read (USD/M tokens)</t>
  </si>
  <si>
    <t xml:space="preserve">Note</t>
  </si>
  <si>
    <t xml:space="preserve">Haiku 5.5</t>
  </si>
  <si>
    <t xml:space="preserve">claude-haiku-5-5</t>
  </si>
  <si>
    <t xml:space="preserve">Prompts up to 100K tokens. Cache read assumed at 10% of input (not in cached price table; confirm).</t>
  </si>
  <si>
    <t xml:space="preserve">Sonnet 5.5</t>
  </si>
  <si>
    <t xml:space="preserve">claude-sonnet-5-5</t>
  </si>
  <si>
    <t xml:space="preserve">Opus 5.5</t>
  </si>
  <si>
    <t xml:space="preserve">claude-opus-5-5</t>
  </si>
  <si>
    <t xml:space="preserve">Source: Anthropic API list prices (first-party), as cached 2026-10-06. Batch API is 50% off but not used: both lanes are interactive.</t>
  </si>
  <si>
    <t xml:space="preserve">Assumption</t>
  </si>
  <si>
    <t xml:space="preserve">Low</t>
  </si>
  <si>
    <t xml:space="preserve">Base</t>
  </si>
  <si>
    <t xml:space="preserve">High</t>
  </si>
  <si>
    <t xml:space="preserve">Unit</t>
  </si>
  <si>
    <t xml:space="preserve">Source / note</t>
  </si>
  <si>
    <t xml:space="preserve">Weekly active buyers (WAB)</t>
  </si>
  <si>
    <t xml:space="preserve">people</t>
  </si>
  <si>
    <t xml:space="preserve">pilot-sizing.md: 3,000 to 10,000 across the pilot</t>
  </si>
  <si>
    <t xml:space="preserve">Searches per WAB per week</t>
  </si>
  <si>
    <t xml:space="preserve">searches</t>
  </si>
  <si>
    <t xml:space="preserve">pilot-sizing.md</t>
  </si>
  <si>
    <t xml:space="preserve">Share of searches sent to the LLM parser</t>
  </si>
  <si>
    <t xml:space="preserve">%</t>
  </si>
  <si>
    <t xml:space="preserve">Rest served by the query cache or the rule-based parser (assumption)</t>
  </si>
  <si>
    <t xml:space="preserve">Concierge turns per WAB per week</t>
  </si>
  <si>
    <t xml:space="preserve">turns</t>
  </si>
  <si>
    <t xml:space="preserve">pilot-sizing.md uses ~3; capped by tier allowances</t>
  </si>
  <si>
    <t xml:space="preserve">Weeks per month</t>
  </si>
  <si>
    <t xml:space="preserve">weeks</t>
  </si>
  <si>
    <t xml:space="preserve">52 / 12</t>
  </si>
  <si>
    <t xml:space="preserve">USD to AUD exchange rate</t>
  </si>
  <si>
    <t xml:space="preserve">AUD per USD</t>
  </si>
  <si>
    <t xml:space="preserve">Assumption; update for the capital plan</t>
  </si>
  <si>
    <t xml:space="preserve">Contingency (retries, evals, staff and dev use)</t>
  </si>
  <si>
    <t xml:space="preserve">Cache write price multiplier</t>
  </si>
  <si>
    <t xml:space="preserve">x input price</t>
  </si>
  <si>
    <t xml:space="preserve">Assumption for 5-minute cache writes; confirm on pricing page</t>
  </si>
  <si>
    <t xml:space="preserve">Search intent parse (per call)</t>
  </si>
  <si>
    <t xml:space="preserve">Must match a name on Prices</t>
  </si>
  <si>
    <t xml:space="preserve">Cached prefix tokens (instructions, criteria schema, suburb list)</t>
  </si>
  <si>
    <t xml:space="preserve">tokens</t>
  </si>
  <si>
    <t xml:space="preserve">Uncached input tokens (the search text)</t>
  </si>
  <si>
    <t xml:space="preserve">Output tokens (structured criteria)</t>
  </si>
  <si>
    <t xml:space="preserve">Prefix cache hit rate</t>
  </si>
  <si>
    <t xml:space="preserve">High traffic keeps the cache warm (assumption)</t>
  </si>
  <si>
    <t xml:space="preserve">Concierge turn (per turn)</t>
  </si>
  <si>
    <t xml:space="preserve">Cached prefix tokens (instructions, tools, rule summaries)</t>
  </si>
  <si>
    <t xml:space="preserve">Uncached input tokens (retrieved listings, history, question)</t>
  </si>
  <si>
    <t xml:space="preserve">Assumption; grows with conversation length</t>
  </si>
  <si>
    <t xml:space="preserve">Output tokens incl. thinking</t>
  </si>
  <si>
    <t xml:space="preserve">Assumption at low effort</t>
  </si>
  <si>
    <t xml:space="preserve">Listing embeddings (semantic search)</t>
  </si>
  <si>
    <t xml:space="preserve">Listings embedded per month (new and changed)</t>
  </si>
  <si>
    <t xml:space="preserve">listings</t>
  </si>
  <si>
    <t xml:space="preserve">Assumption: ~2,000 active listings, frequent edits</t>
  </si>
  <si>
    <t xml:space="preserve">Tokens per listing</t>
  </si>
  <si>
    <t xml:space="preserve">Embedding price</t>
  </si>
  <si>
    <t xml:space="preserve">USD per M tokens</t>
  </si>
  <si>
    <t xml:space="preserve">Placeholder: embedding provider not chosen (Anthropic has no embeddings endpoint)</t>
  </si>
  <si>
    <t xml:space="preserve">Monthly cost</t>
  </si>
  <si>
    <t xml:space="preserve">Weekly active buyers</t>
  </si>
  <si>
    <t xml:space="preserve">Searches per month</t>
  </si>
  <si>
    <t xml:space="preserve">LLM parses per month</t>
  </si>
  <si>
    <t xml:space="preserve">Cost per parse (USD)</t>
  </si>
  <si>
    <t xml:space="preserve">Search lane (USD)</t>
  </si>
  <si>
    <t xml:space="preserve">Concierge turns per month</t>
  </si>
  <si>
    <t xml:space="preserve">Cost per concierge turn (USD)</t>
  </si>
  <si>
    <t xml:space="preserve">Concierge lane (USD)</t>
  </si>
  <si>
    <t xml:space="preserve">Embeddings (USD)</t>
  </si>
  <si>
    <t xml:space="preserve">Subtotal (USD)</t>
  </si>
  <si>
    <t xml:space="preserve">Contingency (USD)</t>
  </si>
  <si>
    <t xml:space="preserve">Total per month (USD)</t>
  </si>
  <si>
    <t xml:space="preserve">Total per month (AUD)</t>
  </si>
  <si>
    <t xml:space="preserve">Cost per WAB per month (AUD)</t>
  </si>
  <si>
    <t xml:space="preserve">Cost per WAB per year (AUD)</t>
  </si>
  <si>
    <t xml:space="preserve">18-month total for capital plan (AUD)</t>
  </si>
  <si>
    <t xml:space="preserve">Concierge share of LLM cost</t>
  </si>
  <si>
    <t xml:space="preserve">18-month total assumes volume stays at the scenario level from launch; ramp-up would lower it.</t>
  </si>
  <si>
    <t xml:space="preserve">Concierge model</t>
  </si>
  <si>
    <t xml:space="preserve">Cost per turn (USD)</t>
  </si>
  <si>
    <t xml:space="preserve">Concierge lane at Base volume (AUD/month, incl. contingency)</t>
  </si>
  <si>
    <t xml:space="preserve">Concierge cost per WAB per month (AUD)</t>
  </si>
  <si>
    <t xml:space="preserve">Choose by benchmark result, not price alone: the cheapest model that meets the approved thresholds (docs/ai/benchmark.md).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</si>
</sst>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"/>
    <numFmt numFmtId="167" formatCode="0.0%"/>
    <numFmt numFmtId="168" formatCode="0.00"/>
    <numFmt numFmtId="169" formatCode="@"/>
    <numFmt numFmtId="170" formatCode="\$#,##0.00000"/>
    <numFmt numFmtId="171" formatCode="\$#,##0"/>
    <numFmt numFmtId="172" formatCode="\$#,##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26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4" t="n">
        <v>0.1</v>
      </c>
      <c r="D2" s="4" t="n">
        <v>0.5</v>
      </c>
      <c r="E2" s="4" t="n">
        <v>0.01</v>
      </c>
      <c r="F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4" t="n">
        <v>2</v>
      </c>
      <c r="D3" s="4" t="n">
        <v>10</v>
      </c>
      <c r="E3" s="4" t="n">
        <v>0.2</v>
      </c>
      <c r="F3" s="2"/>
    </row>
    <row r="4" customFormat="false" ht="15" hidden="false" customHeight="false" outlineLevel="0" collapsed="false">
      <c r="A4" s="2" t="s">
        <v>27</v>
      </c>
      <c r="B4" s="2" t="s">
        <v>28</v>
      </c>
      <c r="C4" s="4" t="n">
        <v>4</v>
      </c>
      <c r="D4" s="4" t="n">
        <v>20</v>
      </c>
      <c r="E4" s="4" t="n">
        <v>0.2</v>
      </c>
      <c r="F4" s="2"/>
    </row>
    <row r="6" customFormat="false" ht="15" hidden="false" customHeight="false" outlineLevel="0" collapsed="false">
      <c r="A6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</row>
    <row r="2" customFormat="false" ht="15" hidden="false" customHeight="false" outlineLevel="0" collapsed="false">
      <c r="A2" s="2" t="s">
        <v>36</v>
      </c>
      <c r="B2" s="5" t="n">
        <v>3000</v>
      </c>
      <c r="C2" s="5" t="n">
        <v>6000</v>
      </c>
      <c r="D2" s="5" t="n">
        <v>10000</v>
      </c>
      <c r="E2" s="2" t="s">
        <v>37</v>
      </c>
      <c r="F2" s="2" t="s">
        <v>38</v>
      </c>
    </row>
    <row r="3" customFormat="false" ht="15" hidden="false" customHeight="false" outlineLevel="0" collapsed="false">
      <c r="A3" s="2" t="s">
        <v>39</v>
      </c>
      <c r="B3" s="6" t="n">
        <v>15</v>
      </c>
      <c r="C3" s="6" t="n">
        <v>15</v>
      </c>
      <c r="D3" s="6" t="n">
        <v>15</v>
      </c>
      <c r="E3" s="2" t="s">
        <v>40</v>
      </c>
      <c r="F3" s="2" t="s">
        <v>41</v>
      </c>
    </row>
    <row r="4" customFormat="false" ht="15" hidden="false" customHeight="false" outlineLevel="0" collapsed="false">
      <c r="A4" s="2" t="s">
        <v>42</v>
      </c>
      <c r="B4" s="7" t="n">
        <v>0.6</v>
      </c>
      <c r="C4" s="7" t="n">
        <v>0.6</v>
      </c>
      <c r="D4" s="7" t="n">
        <v>0.6</v>
      </c>
      <c r="E4" s="2" t="s">
        <v>43</v>
      </c>
      <c r="F4" s="2" t="s">
        <v>44</v>
      </c>
    </row>
    <row r="5" customFormat="false" ht="15" hidden="false" customHeight="false" outlineLevel="0" collapsed="false">
      <c r="A5" s="2" t="s">
        <v>45</v>
      </c>
      <c r="B5" s="5" t="n">
        <v>2</v>
      </c>
      <c r="C5" s="5" t="n">
        <v>3</v>
      </c>
      <c r="D5" s="5" t="n">
        <v>5</v>
      </c>
      <c r="E5" s="2" t="s">
        <v>46</v>
      </c>
      <c r="F5" s="2" t="s">
        <v>47</v>
      </c>
    </row>
    <row r="6" customFormat="false" ht="15" hidden="false" customHeight="false" outlineLevel="0" collapsed="false">
      <c r="A6" s="2" t="s">
        <v>48</v>
      </c>
      <c r="B6" s="8" t="n">
        <v>4.33</v>
      </c>
      <c r="C6" s="8" t="n">
        <v>4.33</v>
      </c>
      <c r="D6" s="8" t="n">
        <v>4.33</v>
      </c>
      <c r="E6" s="2" t="s">
        <v>49</v>
      </c>
      <c r="F6" s="2" t="s">
        <v>50</v>
      </c>
    </row>
    <row r="7" customFormat="false" ht="15" hidden="false" customHeight="false" outlineLevel="0" collapsed="false">
      <c r="A7" s="2" t="s">
        <v>51</v>
      </c>
      <c r="B7" s="9" t="n">
        <v>1.5</v>
      </c>
      <c r="E7" s="2" t="s">
        <v>52</v>
      </c>
      <c r="F7" s="2" t="s">
        <v>53</v>
      </c>
    </row>
    <row r="8" customFormat="false" ht="15" hidden="false" customHeight="false" outlineLevel="0" collapsed="false">
      <c r="A8" s="2" t="s">
        <v>54</v>
      </c>
      <c r="B8" s="10" t="n">
        <v>0.2</v>
      </c>
      <c r="E8" s="2" t="s">
        <v>43</v>
      </c>
      <c r="F8" s="2" t="s">
        <v>30</v>
      </c>
    </row>
    <row r="9" customFormat="false" ht="15" hidden="false" customHeight="false" outlineLevel="0" collapsed="false">
      <c r="A9" s="2" t="s">
        <v>55</v>
      </c>
      <c r="B9" s="8" t="n">
        <v>1.25</v>
      </c>
      <c r="E9" s="2" t="s">
        <v>56</v>
      </c>
      <c r="F9" s="2" t="s">
        <v>57</v>
      </c>
    </row>
    <row r="10" customFormat="false" ht="15" hidden="false" customHeight="false" outlineLevel="0" collapsed="false">
      <c r="A10" s="3" t="s">
        <v>58</v>
      </c>
    </row>
    <row r="11" customFormat="false" ht="15" hidden="false" customHeight="false" outlineLevel="0" collapsed="false">
      <c r="A11" s="2" t="s">
        <v>16</v>
      </c>
      <c r="B11" s="11" t="s">
        <v>22</v>
      </c>
      <c r="E11" s="2"/>
      <c r="F11" s="2" t="s">
        <v>59</v>
      </c>
    </row>
    <row r="12" customFormat="false" ht="15" hidden="false" customHeight="false" outlineLevel="0" collapsed="false">
      <c r="A12" s="2" t="s">
        <v>60</v>
      </c>
      <c r="B12" s="6" t="n">
        <v>1000</v>
      </c>
      <c r="E12" s="2" t="s">
        <v>61</v>
      </c>
      <c r="F12" s="2" t="s">
        <v>30</v>
      </c>
    </row>
    <row r="13" customFormat="false" ht="15" hidden="false" customHeight="false" outlineLevel="0" collapsed="false">
      <c r="A13" s="2" t="s">
        <v>62</v>
      </c>
      <c r="B13" s="6" t="n">
        <v>200</v>
      </c>
      <c r="E13" s="2" t="s">
        <v>61</v>
      </c>
      <c r="F13" s="2" t="s">
        <v>30</v>
      </c>
    </row>
    <row r="14" customFormat="false" ht="15" hidden="false" customHeight="false" outlineLevel="0" collapsed="false">
      <c r="A14" s="2" t="s">
        <v>63</v>
      </c>
      <c r="B14" s="6" t="n">
        <v>150</v>
      </c>
      <c r="E14" s="2" t="s">
        <v>61</v>
      </c>
      <c r="F14" s="2" t="s">
        <v>30</v>
      </c>
    </row>
    <row r="15" customFormat="false" ht="15" hidden="false" customHeight="false" outlineLevel="0" collapsed="false">
      <c r="A15" s="2" t="s">
        <v>64</v>
      </c>
      <c r="B15" s="10" t="n">
        <v>0.9</v>
      </c>
      <c r="E15" s="2" t="s">
        <v>43</v>
      </c>
      <c r="F15" s="2" t="s">
        <v>65</v>
      </c>
    </row>
    <row r="16" customFormat="false" ht="15" hidden="false" customHeight="false" outlineLevel="0" collapsed="false">
      <c r="A16" s="3" t="s">
        <v>66</v>
      </c>
    </row>
    <row r="17" customFormat="false" ht="15" hidden="false" customHeight="false" outlineLevel="0" collapsed="false">
      <c r="A17" s="2" t="s">
        <v>16</v>
      </c>
      <c r="B17" s="12" t="s">
        <v>25</v>
      </c>
      <c r="E17" s="2"/>
      <c r="F17" s="2" t="s">
        <v>59</v>
      </c>
    </row>
    <row r="18" customFormat="false" ht="15" hidden="false" customHeight="false" outlineLevel="0" collapsed="false">
      <c r="A18" s="2" t="s">
        <v>67</v>
      </c>
      <c r="B18" s="6" t="n">
        <v>3000</v>
      </c>
      <c r="E18" s="2" t="s">
        <v>61</v>
      </c>
      <c r="F18" s="2" t="s">
        <v>30</v>
      </c>
    </row>
    <row r="19" customFormat="false" ht="15" hidden="false" customHeight="false" outlineLevel="0" collapsed="false">
      <c r="A19" s="2" t="s">
        <v>68</v>
      </c>
      <c r="B19" s="5" t="n">
        <v>6000</v>
      </c>
      <c r="E19" s="2" t="s">
        <v>61</v>
      </c>
      <c r="F19" s="2" t="s">
        <v>69</v>
      </c>
    </row>
    <row r="20" customFormat="false" ht="15" hidden="false" customHeight="false" outlineLevel="0" collapsed="false">
      <c r="A20" s="2" t="s">
        <v>70</v>
      </c>
      <c r="B20" s="5" t="n">
        <v>900</v>
      </c>
      <c r="E20" s="2" t="s">
        <v>61</v>
      </c>
      <c r="F20" s="2" t="s">
        <v>71</v>
      </c>
    </row>
    <row r="21" customFormat="false" ht="15" hidden="false" customHeight="false" outlineLevel="0" collapsed="false">
      <c r="A21" s="2" t="s">
        <v>64</v>
      </c>
      <c r="B21" s="10" t="n">
        <v>0.8</v>
      </c>
      <c r="E21" s="2" t="s">
        <v>43</v>
      </c>
      <c r="F21" s="2" t="s">
        <v>30</v>
      </c>
    </row>
    <row r="22" customFormat="false" ht="15" hidden="false" customHeight="false" outlineLevel="0" collapsed="false">
      <c r="A22" s="3" t="s">
        <v>72</v>
      </c>
    </row>
    <row r="23" customFormat="false" ht="15" hidden="false" customHeight="false" outlineLevel="0" collapsed="false">
      <c r="A23" s="2" t="s">
        <v>73</v>
      </c>
      <c r="B23" s="6" t="n">
        <v>3000</v>
      </c>
      <c r="E23" s="2" t="s">
        <v>74</v>
      </c>
      <c r="F23" s="2" t="s">
        <v>75</v>
      </c>
    </row>
    <row r="24" customFormat="false" ht="15" hidden="false" customHeight="false" outlineLevel="0" collapsed="false">
      <c r="A24" s="2" t="s">
        <v>76</v>
      </c>
      <c r="B24" s="6" t="n">
        <v>600</v>
      </c>
      <c r="E24" s="2" t="s">
        <v>61</v>
      </c>
      <c r="F24" s="2" t="s">
        <v>30</v>
      </c>
    </row>
    <row r="25" customFormat="false" ht="15" hidden="false" customHeight="false" outlineLevel="0" collapsed="false">
      <c r="A25" s="2" t="s">
        <v>77</v>
      </c>
      <c r="B25" s="4" t="n">
        <v>0.02</v>
      </c>
      <c r="E25" s="2" t="s">
        <v>78</v>
      </c>
      <c r="F25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3" t="s">
        <v>80</v>
      </c>
      <c r="B1" s="3" t="s">
        <v>31</v>
      </c>
      <c r="C1" s="3" t="s">
        <v>32</v>
      </c>
      <c r="D1" s="3" t="s">
        <v>33</v>
      </c>
    </row>
    <row r="2" customFormat="false" ht="15" hidden="false" customHeight="false" outlineLevel="0" collapsed="false">
      <c r="A2" s="2" t="s">
        <v>81</v>
      </c>
      <c r="B2" s="13" t="n">
        <f aca="false">Inputs!B2</f>
        <v>3000</v>
      </c>
      <c r="C2" s="13" t="n">
        <f aca="false">Inputs!C2</f>
        <v>6000</v>
      </c>
      <c r="D2" s="13" t="n">
        <f aca="false">Inputs!D2</f>
        <v>10000</v>
      </c>
    </row>
    <row r="3" customFormat="false" ht="15" hidden="false" customHeight="false" outlineLevel="0" collapsed="false">
      <c r="A3" s="2" t="s">
        <v>82</v>
      </c>
      <c r="B3" s="14" t="n">
        <f aca="false">B2*Inputs!B3*Inputs!B6</f>
        <v>194850</v>
      </c>
      <c r="C3" s="14" t="n">
        <f aca="false">C2*Inputs!C3*Inputs!C6</f>
        <v>389700</v>
      </c>
      <c r="D3" s="14" t="n">
        <f aca="false">D2*Inputs!D3*Inputs!D6</f>
        <v>649500</v>
      </c>
    </row>
    <row r="4" customFormat="false" ht="15" hidden="false" customHeight="false" outlineLevel="0" collapsed="false">
      <c r="A4" s="2" t="s">
        <v>83</v>
      </c>
      <c r="B4" s="14" t="n">
        <f aca="false">B3*Inputs!B4</f>
        <v>116910</v>
      </c>
      <c r="C4" s="14" t="n">
        <f aca="false">C3*Inputs!C4</f>
        <v>233820</v>
      </c>
      <c r="D4" s="14" t="n">
        <f aca="false">D3*Inputs!D4</f>
        <v>389700</v>
      </c>
    </row>
    <row r="5" customFormat="false" ht="15" hidden="false" customHeight="false" outlineLevel="0" collapsed="false">
      <c r="A5" s="2" t="s">
        <v>84</v>
      </c>
      <c r="B5" s="15" t="n">
        <f aca="false">(Inputs!$B$12*(Inputs!$B$15*INDEX(Prices!$E$2:$E$4,MATCH(Inputs!$B$11,Prices!$A$2:$A$4,0))+(1-Inputs!$B$15)*INDEX(Prices!$C$2:$C$4,MATCH(Inputs!$B$11,Prices!$A$2:$A$4,0))*Inputs!$B$9)+Inputs!$B$13*INDEX(Prices!$C$2:$C$4,MATCH(Inputs!$B$11,Prices!$A$2:$A$4,0))+Inputs!$B$14*INDEX(Prices!$D$2:$D$4,MATCH(Inputs!$B$11,Prices!$A$2:$A$4,0)))/1000000</f>
        <v>0.0001165</v>
      </c>
      <c r="C5" s="15" t="n">
        <f aca="false">(Inputs!$B$12*(Inputs!$B$15*INDEX(Prices!$E$2:$E$4,MATCH(Inputs!$B$11,Prices!$A$2:$A$4,0))+(1-Inputs!$B$15)*INDEX(Prices!$C$2:$C$4,MATCH(Inputs!$B$11,Prices!$A$2:$A$4,0))*Inputs!$B$9)+Inputs!$B$13*INDEX(Prices!$C$2:$C$4,MATCH(Inputs!$B$11,Prices!$A$2:$A$4,0))+Inputs!$B$14*INDEX(Prices!$D$2:$D$4,MATCH(Inputs!$B$11,Prices!$A$2:$A$4,0)))/1000000</f>
        <v>0.0001165</v>
      </c>
      <c r="D5" s="15" t="n">
        <f aca="false">(Inputs!$B$12*(Inputs!$B$15*INDEX(Prices!$E$2:$E$4,MATCH(Inputs!$B$11,Prices!$A$2:$A$4,0))+(1-Inputs!$B$15)*INDEX(Prices!$C$2:$C$4,MATCH(Inputs!$B$11,Prices!$A$2:$A$4,0))*Inputs!$B$9)+Inputs!$B$13*INDEX(Prices!$C$2:$C$4,MATCH(Inputs!$B$11,Prices!$A$2:$A$4,0))+Inputs!$B$14*INDEX(Prices!$D$2:$D$4,MATCH(Inputs!$B$11,Prices!$A$2:$A$4,0)))/1000000</f>
        <v>0.0001165</v>
      </c>
    </row>
    <row r="6" customFormat="false" ht="15" hidden="false" customHeight="false" outlineLevel="0" collapsed="false">
      <c r="A6" s="2" t="s">
        <v>85</v>
      </c>
      <c r="B6" s="16" t="n">
        <f aca="false">B4*B5</f>
        <v>13.620015</v>
      </c>
      <c r="C6" s="16" t="n">
        <f aca="false">C4*C5</f>
        <v>27.24003</v>
      </c>
      <c r="D6" s="16" t="n">
        <f aca="false">D4*D5</f>
        <v>45.40005</v>
      </c>
    </row>
    <row r="7" customFormat="false" ht="15" hidden="false" customHeight="false" outlineLevel="0" collapsed="false">
      <c r="A7" s="2" t="s">
        <v>86</v>
      </c>
      <c r="B7" s="14" t="n">
        <f aca="false">B2*Inputs!B5*Inputs!B6</f>
        <v>25980</v>
      </c>
      <c r="C7" s="14" t="n">
        <f aca="false">C2*Inputs!C5*Inputs!C6</f>
        <v>77940</v>
      </c>
      <c r="D7" s="14" t="n">
        <f aca="false">D2*Inputs!D5*Inputs!D6</f>
        <v>216500</v>
      </c>
    </row>
    <row r="8" customFormat="false" ht="15" hidden="false" customHeight="false" outlineLevel="0" collapsed="false">
      <c r="A8" s="2" t="s">
        <v>87</v>
      </c>
      <c r="B8" s="17" t="n">
        <f aca="false">(Inputs!$B$18*(Inputs!$B$21*INDEX(Prices!$E$2:$E$4,MATCH(Inputs!$B$17,Prices!$A$2:$A$4,0))+(1-Inputs!$B$21)*INDEX(Prices!$C$2:$C$4,MATCH(Inputs!$B$17,Prices!$A$2:$A$4,0))*Inputs!$B$9)+Inputs!$B$19*INDEX(Prices!$C$2:$C$4,MATCH(Inputs!$B$17,Prices!$A$2:$A$4,0))+Inputs!$B$20*INDEX(Prices!$D$2:$D$4,MATCH(Inputs!$B$17,Prices!$A$2:$A$4,0)))/1000000</f>
        <v>0.02298</v>
      </c>
      <c r="C8" s="17" t="n">
        <f aca="false">(Inputs!$B$18*(Inputs!$B$21*INDEX(Prices!$E$2:$E$4,MATCH(Inputs!$B$17,Prices!$A$2:$A$4,0))+(1-Inputs!$B$21)*INDEX(Prices!$C$2:$C$4,MATCH(Inputs!$B$17,Prices!$A$2:$A$4,0))*Inputs!$B$9)+Inputs!$B$19*INDEX(Prices!$C$2:$C$4,MATCH(Inputs!$B$17,Prices!$A$2:$A$4,0))+Inputs!$B$20*INDEX(Prices!$D$2:$D$4,MATCH(Inputs!$B$17,Prices!$A$2:$A$4,0)))/1000000</f>
        <v>0.02298</v>
      </c>
      <c r="D8" s="17" t="n">
        <f aca="false">(Inputs!$B$18*(Inputs!$B$21*INDEX(Prices!$E$2:$E$4,MATCH(Inputs!$B$17,Prices!$A$2:$A$4,0))+(1-Inputs!$B$21)*INDEX(Prices!$C$2:$C$4,MATCH(Inputs!$B$17,Prices!$A$2:$A$4,0))*Inputs!$B$9)+Inputs!$B$19*INDEX(Prices!$C$2:$C$4,MATCH(Inputs!$B$17,Prices!$A$2:$A$4,0))+Inputs!$B$20*INDEX(Prices!$D$2:$D$4,MATCH(Inputs!$B$17,Prices!$A$2:$A$4,0)))/1000000</f>
        <v>0.02298</v>
      </c>
    </row>
    <row r="9" customFormat="false" ht="15" hidden="false" customHeight="false" outlineLevel="0" collapsed="false">
      <c r="A9" s="2" t="s">
        <v>88</v>
      </c>
      <c r="B9" s="16" t="n">
        <f aca="false">B7*B8</f>
        <v>597.0204</v>
      </c>
      <c r="C9" s="16" t="n">
        <f aca="false">C7*C8</f>
        <v>1791.0612</v>
      </c>
      <c r="D9" s="16" t="n">
        <f aca="false">D7*D8</f>
        <v>4975.17</v>
      </c>
    </row>
    <row r="10" customFormat="false" ht="15" hidden="false" customHeight="false" outlineLevel="0" collapsed="false">
      <c r="A10" s="2" t="s">
        <v>89</v>
      </c>
      <c r="B10" s="18" t="n">
        <f aca="false">Inputs!$B$23*Inputs!$B$24*Inputs!$B$25/1000000</f>
        <v>0.036</v>
      </c>
      <c r="C10" s="18" t="n">
        <f aca="false">Inputs!$B$23*Inputs!$B$24*Inputs!$B$25/1000000</f>
        <v>0.036</v>
      </c>
      <c r="D10" s="18" t="n">
        <f aca="false">Inputs!$B$23*Inputs!$B$24*Inputs!$B$25/1000000</f>
        <v>0.036</v>
      </c>
    </row>
    <row r="11" customFormat="false" ht="15" hidden="false" customHeight="false" outlineLevel="0" collapsed="false">
      <c r="A11" s="2" t="s">
        <v>90</v>
      </c>
      <c r="B11" s="16" t="n">
        <f aca="false">B6+B9+B10</f>
        <v>610.676415</v>
      </c>
      <c r="C11" s="16" t="n">
        <f aca="false">C6+C9+C10</f>
        <v>1818.33723</v>
      </c>
      <c r="D11" s="16" t="n">
        <f aca="false">D6+D9+D10</f>
        <v>5020.60605</v>
      </c>
    </row>
    <row r="12" customFormat="false" ht="15" hidden="false" customHeight="false" outlineLevel="0" collapsed="false">
      <c r="A12" s="2" t="s">
        <v>91</v>
      </c>
      <c r="B12" s="16" t="n">
        <f aca="false">B11*Inputs!$B$8</f>
        <v>122.135283</v>
      </c>
      <c r="C12" s="16" t="n">
        <f aca="false">C11*Inputs!$B$8</f>
        <v>363.667446</v>
      </c>
      <c r="D12" s="16" t="n">
        <f aca="false">D11*Inputs!$B$8</f>
        <v>1004.12121</v>
      </c>
    </row>
    <row r="13" customFormat="false" ht="15" hidden="false" customHeight="false" outlineLevel="0" collapsed="false">
      <c r="A13" s="3" t="s">
        <v>92</v>
      </c>
      <c r="B13" s="19" t="n">
        <f aca="false">B11+B12</f>
        <v>732.811698</v>
      </c>
      <c r="C13" s="19" t="n">
        <f aca="false">C11+C12</f>
        <v>2182.004676</v>
      </c>
      <c r="D13" s="19" t="n">
        <f aca="false">D11+D12</f>
        <v>6024.72726</v>
      </c>
    </row>
    <row r="14" customFormat="false" ht="15" hidden="false" customHeight="false" outlineLevel="0" collapsed="false">
      <c r="A14" s="3" t="s">
        <v>93</v>
      </c>
      <c r="B14" s="19" t="n">
        <f aca="false">B13*Inputs!$B$7</f>
        <v>1099.217547</v>
      </c>
      <c r="C14" s="19" t="n">
        <f aca="false">C13*Inputs!$B$7</f>
        <v>3273.007014</v>
      </c>
      <c r="D14" s="19" t="n">
        <f aca="false">D13*Inputs!$B$7</f>
        <v>9037.09089</v>
      </c>
    </row>
    <row r="15" customFormat="false" ht="15" hidden="false" customHeight="false" outlineLevel="0" collapsed="false">
      <c r="A15" s="3" t="s">
        <v>94</v>
      </c>
      <c r="B15" s="20" t="n">
        <f aca="false">IF(B2=0,0,B14/B2)</f>
        <v>0.366405849</v>
      </c>
      <c r="C15" s="20" t="n">
        <f aca="false">IF(C2=0,0,C14/C2)</f>
        <v>0.545501169</v>
      </c>
      <c r="D15" s="20" t="n">
        <f aca="false">IF(D2=0,0,D14/D2)</f>
        <v>0.903709089</v>
      </c>
    </row>
    <row r="16" customFormat="false" ht="15" hidden="false" customHeight="false" outlineLevel="0" collapsed="false">
      <c r="A16" s="2" t="s">
        <v>95</v>
      </c>
      <c r="B16" s="18" t="n">
        <f aca="false">B15*12</f>
        <v>4.396870188</v>
      </c>
      <c r="C16" s="18" t="n">
        <f aca="false">C15*12</f>
        <v>6.546014028</v>
      </c>
      <c r="D16" s="18" t="n">
        <f aca="false">D15*12</f>
        <v>10.844509068</v>
      </c>
    </row>
    <row r="17" customFormat="false" ht="15" hidden="false" customHeight="false" outlineLevel="0" collapsed="false">
      <c r="A17" s="3" t="s">
        <v>96</v>
      </c>
      <c r="B17" s="19" t="n">
        <f aca="false">B14*18</f>
        <v>19785.915846</v>
      </c>
      <c r="C17" s="19" t="n">
        <f aca="false">C14*18</f>
        <v>58914.126252</v>
      </c>
      <c r="D17" s="19" t="n">
        <f aca="false">D14*18</f>
        <v>162667.63602</v>
      </c>
    </row>
    <row r="18" customFormat="false" ht="15" hidden="false" customHeight="false" outlineLevel="0" collapsed="false">
      <c r="A18" s="2" t="s">
        <v>97</v>
      </c>
      <c r="B18" s="21" t="n">
        <f aca="false">IF(B11=0,0,B9/B11)</f>
        <v>0.977637886997814</v>
      </c>
      <c r="C18" s="21" t="n">
        <f aca="false">IF(C11=0,0,C9/C11)</f>
        <v>0.984999465693171</v>
      </c>
      <c r="D18" s="21" t="n">
        <f aca="false">IF(D11=0,0,D9/D11)</f>
        <v>0.990950086593629</v>
      </c>
    </row>
    <row r="20" customFormat="false" ht="15" hidden="false" customHeight="false" outlineLevel="0" collapsed="false">
      <c r="A20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3" t="s">
        <v>99</v>
      </c>
      <c r="B1" s="3" t="s">
        <v>100</v>
      </c>
      <c r="C1" s="3" t="s">
        <v>101</v>
      </c>
      <c r="D1" s="3" t="s">
        <v>102</v>
      </c>
    </row>
    <row r="2" customFormat="false" ht="15" hidden="false" customHeight="false" outlineLevel="0" collapsed="false">
      <c r="A2" s="22" t="str">
        <f aca="false">Prices!A2</f>
        <v>Haiku 5.5</v>
      </c>
      <c r="B2" s="17" t="n">
        <f aca="false">(Inputs!$B$18*(Inputs!$B$21*INDEX(Prices!$E$2:$E$4,MATCH(A2,Prices!$A$2:$A$4,0))+(1-Inputs!$B$21)*INDEX(Prices!$C$2:$C$4,MATCH(A2,Prices!$A$2:$A$4,0))*Inputs!$B$9)+Inputs!$B$19*INDEX(Prices!$C$2:$C$4,MATCH(A2,Prices!$A$2:$A$4,0))+Inputs!$B$20*INDEX(Prices!$D$2:$D$4,MATCH(A2,Prices!$A$2:$A$4,0)))/1000000</f>
        <v>0.001149</v>
      </c>
      <c r="C2" s="16" t="n">
        <f aca="false">B2*Model!$C$7*Inputs!$B$7*(1+Inputs!$B$8)</f>
        <v>161.195508</v>
      </c>
      <c r="D2" s="18" t="n">
        <f aca="false">IF(Model!$C$2=0,0,C2/Model!$C$2)</f>
        <v>0.026865918</v>
      </c>
    </row>
    <row r="3" customFormat="false" ht="15" hidden="false" customHeight="false" outlineLevel="0" collapsed="false">
      <c r="A3" s="22" t="str">
        <f aca="false">Prices!A3</f>
        <v>Sonnet 5.5</v>
      </c>
      <c r="B3" s="17" t="n">
        <f aca="false">(Inputs!$B$18*(Inputs!$B$21*INDEX(Prices!$E$2:$E$4,MATCH(A3,Prices!$A$2:$A$4,0))+(1-Inputs!$B$21)*INDEX(Prices!$C$2:$C$4,MATCH(A3,Prices!$A$2:$A$4,0))*Inputs!$B$9)+Inputs!$B$19*INDEX(Prices!$C$2:$C$4,MATCH(A3,Prices!$A$2:$A$4,0))+Inputs!$B$20*INDEX(Prices!$D$2:$D$4,MATCH(A3,Prices!$A$2:$A$4,0)))/1000000</f>
        <v>0.02298</v>
      </c>
      <c r="C3" s="16" t="n">
        <f aca="false">B3*Model!$C$7*Inputs!$B$7*(1+Inputs!$B$8)</f>
        <v>3223.91016</v>
      </c>
      <c r="D3" s="18" t="n">
        <f aca="false">IF(Model!$C$2=0,0,C3/Model!$C$2)</f>
        <v>0.53731836</v>
      </c>
    </row>
    <row r="4" customFormat="false" ht="15" hidden="false" customHeight="false" outlineLevel="0" collapsed="false">
      <c r="A4" s="22" t="str">
        <f aca="false">Prices!A4</f>
        <v>Opus 5.5</v>
      </c>
      <c r="B4" s="17" t="n">
        <f aca="false">(Inputs!$B$18*(Inputs!$B$21*INDEX(Prices!$E$2:$E$4,MATCH(A4,Prices!$A$2:$A$4,0))+(1-Inputs!$B$21)*INDEX(Prices!$C$2:$C$4,MATCH(A4,Prices!$A$2:$A$4,0))*Inputs!$B$9)+Inputs!$B$19*INDEX(Prices!$C$2:$C$4,MATCH(A4,Prices!$A$2:$A$4,0))+Inputs!$B$20*INDEX(Prices!$D$2:$D$4,MATCH(A4,Prices!$A$2:$A$4,0)))/1000000</f>
        <v>0.04548</v>
      </c>
      <c r="C4" s="16" t="n">
        <f aca="false">B4*Model!$C$7*Inputs!$B$7*(1+Inputs!$B$8)</f>
        <v>6380.48016</v>
      </c>
      <c r="D4" s="18" t="n">
        <f aca="false">IF(Model!$C$2=0,0,C4/Model!$C$2)</f>
        <v>1.06341336</v>
      </c>
    </row>
    <row r="6" customFormat="false" ht="15" hidden="false" customHeight="false" outlineLevel="0" collapsed="false">
      <c r="A6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2026-10-28T03:43:37Z</dcterms:created>
  <dc:creator>openpyxl</dc:creator>
  <dc:description/>
  <dc:language>en-US</dc:language>
  <cp:lastModifiedBy/>
  <dcterms:modified xsi:type="dcterms:W3CDTF">2026-10-28T03:43:37Z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